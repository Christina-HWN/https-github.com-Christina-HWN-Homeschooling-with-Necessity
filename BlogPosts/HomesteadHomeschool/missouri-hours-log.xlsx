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B4332"/>
      <sz val="16"/>
    </font>
    <font>
      <name val="Calibri"/>
      <i val="1"/>
      <color rgb="005C6B65"/>
      <sz val="10"/>
    </font>
    <font>
      <name val="Calibri"/>
      <b val="1"/>
      <color rgb="001B4332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2D6A4F"/>
        <bgColor rgb="002D6A4F"/>
      </patternFill>
    </fill>
    <fill>
      <patternFill patternType="solid">
        <fgColor rgb="001B4332"/>
        <bgColor rgb="001B4332"/>
      </patternFill>
    </fill>
    <fill>
      <patternFill patternType="solid">
        <fgColor rgb="00F9F7F2"/>
        <bgColor rgb="00F9F7F2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4332"/>
      </bottom>
    </border>
    <border>
      <bottom style="medium">
        <color rgb="001B433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5" borderId="0" pivotButton="0" quotePrefix="0" xfId="0"/>
    <xf numFmtId="0" fontId="4" fillId="2" borderId="1" pivotButton="0" quotePrefix="0" xfId="0"/>
    <xf numFmtId="0" fontId="5" fillId="6" borderId="0" applyAlignment="1" pivotButton="0" quotePrefix="0" xfId="0">
      <alignment horizontal="center" vertical="center"/>
    </xf>
    <xf numFmtId="0" fontId="4" fillId="3" borderId="1" pivotButton="0" quotePrefix="0" xfId="0"/>
    <xf numFmtId="0" fontId="6" fillId="0" borderId="1" pivotButton="0" quotePrefix="0" xfId="0"/>
    <xf numFmtId="3" fontId="4" fillId="0" borderId="1" pivotButton="0" quotePrefix="0" xfId="0"/>
    <xf numFmtId="3" fontId="6" fillId="3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5" fillId="6" borderId="2" pivotButton="0" quotePrefix="0" xfId="0"/>
    <xf numFmtId="3" fontId="5" fillId="6" borderId="2" pivotButton="0" quotePrefix="0" xfId="0"/>
    <xf numFmtId="164" fontId="5" fillId="6" borderId="2" pivotButton="0" quotePrefix="0" xfId="0"/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 ht="24" customHeight="1">
      <c r="A1" s="1" t="inlineStr">
        <is>
          <t>Missouri Homeschool Compliance Tracker</t>
        </is>
      </c>
    </row>
    <row r="2" ht="18" customHeight="1">
      <c r="A2" s="2" t="inlineStr">
        <is>
          <t>Missouri RSMo § 167.012 Homestead Edition | v1.0</t>
        </is>
      </c>
    </row>
    <row r="4" ht="22" customHeight="1">
      <c r="A4" s="3" t="inlineStr">
        <is>
          <t>Color Key</t>
        </is>
      </c>
      <c r="C4" s="4" t="inlineStr">
        <is>
          <t>STATUTORY HOURS COMPLIANCE SUMMARY</t>
        </is>
      </c>
    </row>
    <row r="5" ht="20" customHeight="1">
      <c r="A5" s="5" t="inlineStr">
        <is>
          <t>Input Cell (Editable)</t>
        </is>
      </c>
      <c r="C5" s="6" t="inlineStr">
        <is>
          <t>Academic Category</t>
        </is>
      </c>
      <c r="D5" s="6" t="inlineStr">
        <is>
          <t>Statutory Target</t>
        </is>
      </c>
      <c r="E5" s="6" t="inlineStr">
        <is>
          <t>Hours Completed</t>
        </is>
      </c>
      <c r="F5" s="6" t="inlineStr">
        <is>
          <t>Status</t>
        </is>
      </c>
      <c r="G5" s="6" t="inlineStr">
        <is>
          <t>Deficit / Surplus</t>
        </is>
      </c>
    </row>
    <row r="6">
      <c r="A6" s="7" t="inlineStr">
        <is>
          <t>Formula Cell (Automatic)</t>
        </is>
      </c>
      <c r="C6" s="8" t="inlineStr">
        <is>
          <t>Core Academic Hours</t>
        </is>
      </c>
      <c r="D6" s="9" t="n">
        <v>600</v>
      </c>
      <c r="E6" s="10">
        <f>SUMIF('Daily Log'!D5:D1000, "Core Academic", 'Daily Log'!E5:E1000)</f>
        <v/>
      </c>
      <c r="F6" s="8">
        <f>IF(E6&gt;=D6, "COMPLIANT", "IN PROGRESS")</f>
        <v/>
      </c>
      <c r="G6" s="11">
        <f>E6-D6</f>
        <v/>
      </c>
    </row>
    <row r="7">
      <c r="A7" s="12" t="inlineStr">
        <is>
          <t>Standard Data/Text</t>
        </is>
      </c>
      <c r="C7" s="8" t="inlineStr">
        <is>
          <t>Home-based Core Hours</t>
        </is>
      </c>
      <c r="D7" s="9" t="n">
        <v>400</v>
      </c>
      <c r="E7" s="10">
        <f>SUMIFS('Daily Log'!E5:E1000, 'Daily Log'!D5:D1000, "Core Academic", 'Daily Log'!F5:F1000, "Home")</f>
        <v/>
      </c>
      <c r="F7" s="8">
        <f>IF(E7&gt;=D7, "COMPLIANT", "IN PROGRESS")</f>
        <v/>
      </c>
      <c r="G7" s="11">
        <f>E7-D7</f>
        <v/>
      </c>
    </row>
    <row r="8">
      <c r="C8" s="8" t="inlineStr">
        <is>
          <t>Non-Core Electives</t>
        </is>
      </c>
      <c r="D8" s="9" t="n">
        <v>400</v>
      </c>
      <c r="E8" s="10">
        <f>SUMIF('Daily Log'!D5:D1000, "Non-Core Electives", 'Daily Log'!E5:E1000)</f>
        <v/>
      </c>
      <c r="F8" s="13" t="inlineStr">
        <is>
          <t>ELECTIVE</t>
        </is>
      </c>
      <c r="G8" s="11">
        <f>E8</f>
        <v/>
      </c>
    </row>
    <row r="9">
      <c r="C9" s="14" t="inlineStr">
        <is>
          <t>Total Annual Hours</t>
        </is>
      </c>
      <c r="D9" s="15" t="n">
        <v>1000</v>
      </c>
      <c r="E9" s="15">
        <f>E6+E8</f>
        <v/>
      </c>
      <c r="F9" s="14">
        <f>IF(E9&gt;=D9, "COMPLIANT", "IN PROGRESS")</f>
        <v/>
      </c>
      <c r="G9" s="16">
        <f>E9-D9</f>
        <v/>
      </c>
    </row>
  </sheetData>
  <mergeCells count="1">
    <mergeCell ref="C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2" customWidth="1" min="3" max="3"/>
    <col width="20" customWidth="1" min="4" max="4"/>
    <col width="12" customWidth="1" min="5" max="5"/>
    <col width="12" customWidth="1" min="6" max="6"/>
    <col width="40" customWidth="1" min="7" max="7"/>
  </cols>
  <sheetData>
    <row r="1" ht="24" customHeight="1">
      <c r="A1" s="1" t="inlineStr">
        <is>
          <t>Chronological Homeschool Log</t>
        </is>
      </c>
    </row>
    <row r="2">
      <c r="A2" s="2" t="inlineStr">
        <is>
          <t>Logged activities converting daily life to academic hours | RSMo § 167.012</t>
        </is>
      </c>
    </row>
    <row r="4" ht="22" customHeight="1">
      <c r="A4" s="17" t="inlineStr">
        <is>
          <t>Date</t>
        </is>
      </c>
      <c r="B4" s="17" t="inlineStr">
        <is>
          <t>Activity / Task</t>
        </is>
      </c>
      <c r="C4" s="17" t="inlineStr">
        <is>
          <t>Mapped Subject</t>
        </is>
      </c>
      <c r="D4" s="17" t="inlineStr">
        <is>
          <t>Academic Category</t>
        </is>
      </c>
      <c r="E4" s="18" t="inlineStr">
        <is>
          <t>Hours</t>
        </is>
      </c>
      <c r="F4" s="17" t="inlineStr">
        <is>
          <t>Location</t>
        </is>
      </c>
      <c r="G4" s="17" t="inlineStr">
        <is>
          <t>Notes / Evidence / Binder Ref</t>
        </is>
      </c>
    </row>
    <row r="5">
      <c r="A5" s="19" t="inlineStr">
        <is>
          <t>2026-09-01</t>
        </is>
      </c>
      <c r="B5" s="13" t="inlineStr">
        <is>
          <t>Pasture Fencing perimeter math &amp; board-foot calculations</t>
        </is>
      </c>
      <c r="C5" s="13" t="inlineStr">
        <is>
          <t>Applied Mathematics &amp; Geometry</t>
        </is>
      </c>
      <c r="D5" s="20" t="inlineStr">
        <is>
          <t>Core Academic</t>
        </is>
      </c>
      <c r="E5" s="21" t="n">
        <v>2</v>
      </c>
      <c r="F5" s="20" t="inlineStr">
        <is>
          <t>Home</t>
        </is>
      </c>
      <c r="G5" s="13" t="inlineStr">
        <is>
          <t>Portfolio Binder Sec A - Geometry Log</t>
        </is>
      </c>
    </row>
    <row r="6">
      <c r="A6" s="22" t="inlineStr">
        <is>
          <t>2026-09-01</t>
        </is>
      </c>
      <c r="B6" s="23" t="inlineStr">
        <is>
          <t>Compost Thermal Dynamics monitoring &amp; aeration setup</t>
        </is>
      </c>
      <c r="C6" s="23" t="inlineStr">
        <is>
          <t>Microbiology &amp; General Chemistry</t>
        </is>
      </c>
      <c r="D6" s="20" t="inlineStr">
        <is>
          <t>Core Academic</t>
        </is>
      </c>
      <c r="E6" s="21" t="n">
        <v>1.5</v>
      </c>
      <c r="F6" s="20" t="inlineStr">
        <is>
          <t>Home</t>
        </is>
      </c>
      <c r="G6" s="23" t="inlineStr">
        <is>
          <t>Portfolio Binder Sec B - Biology Lab Report</t>
        </is>
      </c>
    </row>
    <row r="7">
      <c r="A7" s="19" t="inlineStr">
        <is>
          <t>2026-09-02</t>
        </is>
      </c>
      <c r="B7" s="13" t="inlineStr">
        <is>
          <t>Livestock breeding inheritance mapping &amp; pedigree records</t>
        </is>
      </c>
      <c r="C7" s="13" t="inlineStr">
        <is>
          <t>Animal Husbandry &amp; Genetics</t>
        </is>
      </c>
      <c r="D7" s="20" t="inlineStr">
        <is>
          <t>Core Academic</t>
        </is>
      </c>
      <c r="E7" s="21" t="n">
        <v>2</v>
      </c>
      <c r="F7" s="20" t="inlineStr">
        <is>
          <t>Home</t>
        </is>
      </c>
      <c r="G7" s="13" t="inlineStr">
        <is>
          <t>Portfolio Binder Sec B - Animal Husbandry Log</t>
        </is>
      </c>
    </row>
    <row r="8">
      <c r="A8" s="22" t="inlineStr">
        <is>
          <t>2026-09-02</t>
        </is>
      </c>
      <c r="B8" s="23" t="inlineStr">
        <is>
          <t>Constructing new rabbit hutch &amp; woodworking</t>
        </is>
      </c>
      <c r="C8" s="23" t="inlineStr">
        <is>
          <t>Industrial Arts &amp; Practical Carpentry</t>
        </is>
      </c>
      <c r="D8" s="20" t="inlineStr">
        <is>
          <t>Non-Core Electives</t>
        </is>
      </c>
      <c r="E8" s="21" t="n">
        <v>3</v>
      </c>
      <c r="F8" s="20" t="inlineStr">
        <is>
          <t>Home</t>
        </is>
      </c>
      <c r="G8" s="23" t="inlineStr">
        <is>
          <t>Carpentry log book - Woodworking portfolio</t>
        </is>
      </c>
    </row>
    <row r="9">
      <c r="A9" s="19" t="inlineStr">
        <is>
          <t>2026-09-03</t>
        </is>
      </c>
      <c r="B9" s="13" t="inlineStr">
        <is>
          <t>Ozark Agrarian History timeline analysis &amp; comparative reading</t>
        </is>
      </c>
      <c r="C9" s="13" t="inlineStr">
        <is>
          <t>Economics &amp; Regional Social Studies</t>
        </is>
      </c>
      <c r="D9" s="20" t="inlineStr">
        <is>
          <t>Core Academic</t>
        </is>
      </c>
      <c r="E9" s="21" t="n">
        <v>1.5</v>
      </c>
      <c r="F9" s="20" t="inlineStr">
        <is>
          <t>Home</t>
        </is>
      </c>
      <c r="G9" s="13" t="inlineStr">
        <is>
          <t>Social Studies Binder - Agrarian History Paper</t>
        </is>
      </c>
    </row>
    <row r="10">
      <c r="A10" s="22" t="inlineStr">
        <is>
          <t>2026-09-03</t>
        </is>
      </c>
      <c r="B10" s="23" t="inlineStr">
        <is>
          <t>Sales book maintenance &amp; egg ledger balancing</t>
        </is>
      </c>
      <c r="C10" s="23" t="inlineStr">
        <is>
          <t>Economics &amp; Farm Enterprise Accounting</t>
        </is>
      </c>
      <c r="D10" s="20" t="inlineStr">
        <is>
          <t>Core Academic</t>
        </is>
      </c>
      <c r="E10" s="21" t="n">
        <v>1</v>
      </c>
      <c r="F10" s="20" t="inlineStr">
        <is>
          <t>Home</t>
        </is>
      </c>
      <c r="G10" s="23" t="inlineStr">
        <is>
          <t>Math Portfolio - Farm Ledger Log</t>
        </is>
      </c>
    </row>
    <row r="11">
      <c r="A11" s="19" t="inlineStr">
        <is>
          <t>2026-09-04</t>
        </is>
      </c>
      <c r="B11" s="13" t="inlineStr">
        <is>
          <t>NPK soil test assay performance and pH analysis</t>
        </is>
      </c>
      <c r="C11" s="13" t="inlineStr">
        <is>
          <t>Soil Chemistry &amp; Food Preservation</t>
        </is>
      </c>
      <c r="D11" s="20" t="inlineStr">
        <is>
          <t>Core Academic</t>
        </is>
      </c>
      <c r="E11" s="21" t="n">
        <v>2.5</v>
      </c>
      <c r="F11" s="20" t="inlineStr">
        <is>
          <t>Home</t>
        </is>
      </c>
      <c r="G11" s="13" t="inlineStr">
        <is>
          <t>Portfolio Binder Sec B - Chemistry Assay</t>
        </is>
      </c>
    </row>
    <row r="12">
      <c r="A12" s="22" t="n"/>
      <c r="B12" s="23" t="n"/>
      <c r="C12" s="23" t="n"/>
      <c r="D12" s="20" t="n"/>
      <c r="E12" s="21" t="n"/>
      <c r="F12" s="20" t="n"/>
      <c r="G12" s="23" t="n"/>
    </row>
    <row r="13">
      <c r="A13" s="19" t="n"/>
      <c r="B13" s="13" t="n"/>
      <c r="C13" s="13" t="n"/>
      <c r="D13" s="20" t="n"/>
      <c r="E13" s="21" t="n"/>
      <c r="F13" s="20" t="n"/>
      <c r="G13" s="13" t="n"/>
    </row>
    <row r="14">
      <c r="A14" s="22" t="n"/>
      <c r="B14" s="23" t="n"/>
      <c r="C14" s="23" t="n"/>
      <c r="D14" s="20" t="n"/>
      <c r="E14" s="21" t="n"/>
      <c r="F14" s="20" t="n"/>
      <c r="G14" s="23" t="n"/>
    </row>
    <row r="15">
      <c r="A15" s="19" t="n"/>
      <c r="B15" s="13" t="n"/>
      <c r="C15" s="13" t="n"/>
      <c r="D15" s="20" t="n"/>
      <c r="E15" s="21" t="n"/>
      <c r="F15" s="20" t="n"/>
      <c r="G15" s="13" t="n"/>
    </row>
    <row r="16">
      <c r="A16" s="22" t="n"/>
      <c r="B16" s="23" t="n"/>
      <c r="C16" s="23" t="n"/>
      <c r="D16" s="20" t="n"/>
      <c r="E16" s="21" t="n"/>
      <c r="F16" s="20" t="n"/>
      <c r="G16" s="23" t="n"/>
    </row>
    <row r="17">
      <c r="A17" s="19" t="n"/>
      <c r="B17" s="13" t="n"/>
      <c r="C17" s="13" t="n"/>
      <c r="D17" s="20" t="n"/>
      <c r="E17" s="21" t="n"/>
      <c r="F17" s="20" t="n"/>
      <c r="G17" s="13" t="n"/>
    </row>
    <row r="18">
      <c r="A18" s="22" t="n"/>
      <c r="B18" s="23" t="n"/>
      <c r="C18" s="23" t="n"/>
      <c r="D18" s="20" t="n"/>
      <c r="E18" s="21" t="n"/>
      <c r="F18" s="20" t="n"/>
      <c r="G18" s="23" t="n"/>
    </row>
    <row r="19">
      <c r="A19" s="19" t="n"/>
      <c r="B19" s="13" t="n"/>
      <c r="C19" s="13" t="n"/>
      <c r="D19" s="20" t="n"/>
      <c r="E19" s="21" t="n"/>
      <c r="F19" s="20" t="n"/>
      <c r="G19" s="13" t="n"/>
    </row>
    <row r="20">
      <c r="A20" s="22" t="n"/>
      <c r="B20" s="23" t="n"/>
      <c r="C20" s="23" t="n"/>
      <c r="D20" s="20" t="n"/>
      <c r="E20" s="21" t="n"/>
      <c r="F20" s="20" t="n"/>
      <c r="G20" s="23" t="n"/>
    </row>
    <row r="21">
      <c r="A21" s="19" t="n"/>
      <c r="B21" s="13" t="n"/>
      <c r="C21" s="13" t="n"/>
      <c r="D21" s="20" t="n"/>
      <c r="E21" s="21" t="n"/>
      <c r="F21" s="20" t="n"/>
      <c r="G21" s="13" t="n"/>
    </row>
    <row r="22">
      <c r="A22" s="22" t="n"/>
      <c r="B22" s="23" t="n"/>
      <c r="C22" s="23" t="n"/>
      <c r="D22" s="20" t="n"/>
      <c r="E22" s="21" t="n"/>
      <c r="F22" s="20" t="n"/>
      <c r="G22" s="23" t="n"/>
    </row>
    <row r="23">
      <c r="A23" s="19" t="n"/>
      <c r="B23" s="13" t="n"/>
      <c r="C23" s="13" t="n"/>
      <c r="D23" s="20" t="n"/>
      <c r="E23" s="21" t="n"/>
      <c r="F23" s="20" t="n"/>
      <c r="G23" s="13" t="n"/>
    </row>
    <row r="24">
      <c r="A24" s="22" t="n"/>
      <c r="B24" s="23" t="n"/>
      <c r="C24" s="23" t="n"/>
      <c r="D24" s="20" t="n"/>
      <c r="E24" s="21" t="n"/>
      <c r="F24" s="20" t="n"/>
      <c r="G24" s="23" t="n"/>
    </row>
    <row r="25">
      <c r="A25" s="19" t="n"/>
      <c r="B25" s="13" t="n"/>
      <c r="C25" s="13" t="n"/>
      <c r="D25" s="20" t="n"/>
      <c r="E25" s="21" t="n"/>
      <c r="F25" s="20" t="n"/>
      <c r="G25" s="13" t="n"/>
    </row>
    <row r="26">
      <c r="A26" s="22" t="n"/>
      <c r="B26" s="23" t="n"/>
      <c r="C26" s="23" t="n"/>
      <c r="D26" s="20" t="n"/>
      <c r="E26" s="21" t="n"/>
      <c r="F26" s="20" t="n"/>
      <c r="G26" s="23" t="n"/>
    </row>
    <row r="27">
      <c r="A27" s="19" t="n"/>
      <c r="B27" s="13" t="n"/>
      <c r="C27" s="13" t="n"/>
      <c r="D27" s="20" t="n"/>
      <c r="E27" s="21" t="n"/>
      <c r="F27" s="20" t="n"/>
      <c r="G27" s="13" t="n"/>
    </row>
    <row r="28">
      <c r="A28" s="22" t="n"/>
      <c r="B28" s="23" t="n"/>
      <c r="C28" s="23" t="n"/>
      <c r="D28" s="20" t="n"/>
      <c r="E28" s="21" t="n"/>
      <c r="F28" s="20" t="n"/>
      <c r="G28" s="23" t="n"/>
    </row>
    <row r="29">
      <c r="A29" s="19" t="n"/>
      <c r="B29" s="13" t="n"/>
      <c r="C29" s="13" t="n"/>
      <c r="D29" s="20" t="n"/>
      <c r="E29" s="21" t="n"/>
      <c r="F29" s="20" t="n"/>
      <c r="G29" s="13" t="n"/>
    </row>
    <row r="30">
      <c r="A30" s="22" t="n"/>
      <c r="B30" s="23" t="n"/>
      <c r="C30" s="23" t="n"/>
      <c r="D30" s="20" t="n"/>
      <c r="E30" s="21" t="n"/>
      <c r="F30" s="20" t="n"/>
      <c r="G30" s="23" t="n"/>
    </row>
    <row r="31">
      <c r="A31" s="19" t="n"/>
      <c r="B31" s="13" t="n"/>
      <c r="C31" s="13" t="n"/>
      <c r="D31" s="20" t="n"/>
      <c r="E31" s="21" t="n"/>
      <c r="F31" s="20" t="n"/>
      <c r="G31" s="13" t="n"/>
    </row>
    <row r="32">
      <c r="A32" s="22" t="n"/>
      <c r="B32" s="23" t="n"/>
      <c r="C32" s="23" t="n"/>
      <c r="D32" s="20" t="n"/>
      <c r="E32" s="21" t="n"/>
      <c r="F32" s="20" t="n"/>
      <c r="G32" s="23" t="n"/>
    </row>
    <row r="33">
      <c r="A33" s="19" t="n"/>
      <c r="B33" s="13" t="n"/>
      <c r="C33" s="13" t="n"/>
      <c r="D33" s="20" t="n"/>
      <c r="E33" s="21" t="n"/>
      <c r="F33" s="20" t="n"/>
      <c r="G33" s="13" t="n"/>
    </row>
    <row r="34">
      <c r="A34" s="22" t="n"/>
      <c r="B34" s="23" t="n"/>
      <c r="C34" s="23" t="n"/>
      <c r="D34" s="20" t="n"/>
      <c r="E34" s="21" t="n"/>
      <c r="F34" s="20" t="n"/>
      <c r="G34" s="23" t="n"/>
    </row>
    <row r="35">
      <c r="A35" s="19" t="n"/>
      <c r="B35" s="13" t="n"/>
      <c r="C35" s="13" t="n"/>
      <c r="D35" s="20" t="n"/>
      <c r="E35" s="21" t="n"/>
      <c r="F35" s="20" t="n"/>
      <c r="G35" s="13" t="n"/>
    </row>
    <row r="36">
      <c r="A36" s="22" t="n"/>
      <c r="B36" s="23" t="n"/>
      <c r="C36" s="23" t="n"/>
      <c r="D36" s="20" t="n"/>
      <c r="E36" s="21" t="n"/>
      <c r="F36" s="20" t="n"/>
      <c r="G36" s="23" t="n"/>
    </row>
    <row r="37">
      <c r="A37" s="19" t="n"/>
      <c r="B37" s="13" t="n"/>
      <c r="C37" s="13" t="n"/>
      <c r="D37" s="20" t="n"/>
      <c r="E37" s="21" t="n"/>
      <c r="F37" s="20" t="n"/>
      <c r="G37" s="13" t="n"/>
    </row>
    <row r="38">
      <c r="A38" s="22" t="n"/>
      <c r="B38" s="23" t="n"/>
      <c r="C38" s="23" t="n"/>
      <c r="D38" s="20" t="n"/>
      <c r="E38" s="21" t="n"/>
      <c r="F38" s="20" t="n"/>
      <c r="G38" s="23" t="n"/>
    </row>
    <row r="39">
      <c r="A39" s="19" t="n"/>
      <c r="B39" s="13" t="n"/>
      <c r="C39" s="13" t="n"/>
      <c r="D39" s="20" t="n"/>
      <c r="E39" s="21" t="n"/>
      <c r="F39" s="20" t="n"/>
      <c r="G39" s="13" t="n"/>
    </row>
    <row r="40">
      <c r="A40" s="22" t="n"/>
      <c r="B40" s="23" t="n"/>
      <c r="C40" s="23" t="n"/>
      <c r="D40" s="20" t="n"/>
      <c r="E40" s="21" t="n"/>
      <c r="F40" s="20" t="n"/>
      <c r="G40" s="23" t="n"/>
    </row>
    <row r="41">
      <c r="A41" s="19" t="n"/>
      <c r="B41" s="13" t="n"/>
      <c r="C41" s="13" t="n"/>
      <c r="D41" s="20" t="n"/>
      <c r="E41" s="21" t="n"/>
      <c r="F41" s="20" t="n"/>
      <c r="G41" s="13" t="n"/>
    </row>
    <row r="42">
      <c r="A42" s="22" t="n"/>
      <c r="B42" s="23" t="n"/>
      <c r="C42" s="23" t="n"/>
      <c r="D42" s="20" t="n"/>
      <c r="E42" s="21" t="n"/>
      <c r="F42" s="20" t="n"/>
      <c r="G42" s="23" t="n"/>
    </row>
    <row r="43">
      <c r="A43" s="19" t="n"/>
      <c r="B43" s="13" t="n"/>
      <c r="C43" s="13" t="n"/>
      <c r="D43" s="20" t="n"/>
      <c r="E43" s="21" t="n"/>
      <c r="F43" s="20" t="n"/>
      <c r="G43" s="13" t="n"/>
    </row>
    <row r="44">
      <c r="A44" s="22" t="n"/>
      <c r="B44" s="23" t="n"/>
      <c r="C44" s="23" t="n"/>
      <c r="D44" s="20" t="n"/>
      <c r="E44" s="21" t="n"/>
      <c r="F44" s="20" t="n"/>
      <c r="G44" s="23" t="n"/>
    </row>
    <row r="45">
      <c r="A45" s="19" t="n"/>
      <c r="B45" s="13" t="n"/>
      <c r="C45" s="13" t="n"/>
      <c r="D45" s="20" t="n"/>
      <c r="E45" s="21" t="n"/>
      <c r="F45" s="20" t="n"/>
      <c r="G45" s="13" t="n"/>
    </row>
    <row r="46">
      <c r="A46" s="22" t="n"/>
      <c r="B46" s="23" t="n"/>
      <c r="C46" s="23" t="n"/>
      <c r="D46" s="20" t="n"/>
      <c r="E46" s="21" t="n"/>
      <c r="F46" s="20" t="n"/>
      <c r="G46" s="23" t="n"/>
    </row>
    <row r="47">
      <c r="A47" s="19" t="n"/>
      <c r="B47" s="13" t="n"/>
      <c r="C47" s="13" t="n"/>
      <c r="D47" s="20" t="n"/>
      <c r="E47" s="21" t="n"/>
      <c r="F47" s="20" t="n"/>
      <c r="G47" s="13" t="n"/>
    </row>
    <row r="48">
      <c r="A48" s="22" t="n"/>
      <c r="B48" s="23" t="n"/>
      <c r="C48" s="23" t="n"/>
      <c r="D48" s="20" t="n"/>
      <c r="E48" s="21" t="n"/>
      <c r="F48" s="20" t="n"/>
      <c r="G48" s="23" t="n"/>
    </row>
    <row r="49">
      <c r="A49" s="19" t="n"/>
      <c r="B49" s="13" t="n"/>
      <c r="C49" s="13" t="n"/>
      <c r="D49" s="20" t="n"/>
      <c r="E49" s="21" t="n"/>
      <c r="F49" s="20" t="n"/>
      <c r="G49" s="13" t="n"/>
    </row>
    <row r="50">
      <c r="A50" s="22" t="n"/>
      <c r="B50" s="23" t="n"/>
      <c r="C50" s="23" t="n"/>
      <c r="D50" s="20" t="n"/>
      <c r="E50" s="21" t="n"/>
      <c r="F50" s="20" t="n"/>
      <c r="G50" s="23" t="n"/>
    </row>
    <row r="51">
      <c r="A51" s="19" t="n"/>
      <c r="B51" s="13" t="n"/>
      <c r="C51" s="13" t="n"/>
      <c r="D51" s="20" t="n"/>
      <c r="E51" s="21" t="n"/>
      <c r="F51" s="20" t="n"/>
      <c r="G51" s="13" t="n"/>
    </row>
    <row r="52">
      <c r="A52" s="22" t="n"/>
      <c r="B52" s="23" t="n"/>
      <c r="C52" s="23" t="n"/>
      <c r="D52" s="20" t="n"/>
      <c r="E52" s="21" t="n"/>
      <c r="F52" s="20" t="n"/>
      <c r="G52" s="23" t="n"/>
    </row>
    <row r="53">
      <c r="A53" s="19" t="n"/>
      <c r="B53" s="13" t="n"/>
      <c r="C53" s="13" t="n"/>
      <c r="D53" s="20" t="n"/>
      <c r="E53" s="21" t="n"/>
      <c r="F53" s="20" t="n"/>
      <c r="G53" s="13" t="n"/>
    </row>
    <row r="54">
      <c r="A54" s="22" t="n"/>
      <c r="B54" s="23" t="n"/>
      <c r="C54" s="23" t="n"/>
      <c r="D54" s="20" t="n"/>
      <c r="E54" s="21" t="n"/>
      <c r="F54" s="20" t="n"/>
      <c r="G54" s="23" t="n"/>
    </row>
    <row r="55">
      <c r="A55" s="19" t="n"/>
      <c r="B55" s="13" t="n"/>
      <c r="C55" s="13" t="n"/>
      <c r="D55" s="20" t="n"/>
      <c r="E55" s="21" t="n"/>
      <c r="F55" s="20" t="n"/>
      <c r="G55" s="13" t="n"/>
    </row>
    <row r="56">
      <c r="A56" s="22" t="n"/>
      <c r="B56" s="23" t="n"/>
      <c r="C56" s="23" t="n"/>
      <c r="D56" s="20" t="n"/>
      <c r="E56" s="21" t="n"/>
      <c r="F56" s="20" t="n"/>
      <c r="G56" s="23" t="n"/>
    </row>
    <row r="57">
      <c r="A57" s="19" t="n"/>
      <c r="B57" s="13" t="n"/>
      <c r="C57" s="13" t="n"/>
      <c r="D57" s="20" t="n"/>
      <c r="E57" s="21" t="n"/>
      <c r="F57" s="20" t="n"/>
      <c r="G57" s="13" t="n"/>
    </row>
    <row r="58">
      <c r="A58" s="22" t="n"/>
      <c r="B58" s="23" t="n"/>
      <c r="C58" s="23" t="n"/>
      <c r="D58" s="20" t="n"/>
      <c r="E58" s="21" t="n"/>
      <c r="F58" s="20" t="n"/>
      <c r="G58" s="23" t="n"/>
    </row>
    <row r="59">
      <c r="A59" s="19" t="n"/>
      <c r="B59" s="13" t="n"/>
      <c r="C59" s="13" t="n"/>
      <c r="D59" s="20" t="n"/>
      <c r="E59" s="21" t="n"/>
      <c r="F59" s="20" t="n"/>
      <c r="G59" s="13" t="n"/>
    </row>
    <row r="60">
      <c r="A60" s="22" t="n"/>
      <c r="B60" s="23" t="n"/>
      <c r="C60" s="23" t="n"/>
      <c r="D60" s="20" t="n"/>
      <c r="E60" s="21" t="n"/>
      <c r="F60" s="20" t="n"/>
      <c r="G60" s="23" t="n"/>
    </row>
    <row r="61">
      <c r="A61" s="19" t="n"/>
      <c r="B61" s="13" t="n"/>
      <c r="C61" s="13" t="n"/>
      <c r="D61" s="20" t="n"/>
      <c r="E61" s="21" t="n"/>
      <c r="F61" s="20" t="n"/>
      <c r="G61" s="13" t="n"/>
    </row>
  </sheetData>
  <dataValidations count="2">
    <dataValidation sqref="D5:D200" showDropDown="0" showInputMessage="0" showErrorMessage="0" allowBlank="1" type="list">
      <formula1>"Core Academic,Non-Core Electives"</formula1>
    </dataValidation>
    <dataValidation sqref="F5:F200" showDropDown="0" showInputMessage="0" showErrorMessage="0" allowBlank="1" type="list">
      <formula1>"Home,Away"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2026-09-05T02:33:03Z</dcterms:created>
  <dcterms:modified xmlns:dcterms="http://purl.org/dc/terms/" xmlns:xsi="http://www.w3.org/2001/XMLSchema-instance" xsi:type="dcterms:W3CDTF">2026-09-05T02:33:03Z</dcterms:modified>
</cp:coreProperties>
</file>